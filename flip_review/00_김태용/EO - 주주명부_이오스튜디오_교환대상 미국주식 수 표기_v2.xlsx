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hidePivotFieldList="1"/>
  <xr:revisionPtr revIDLastSave="0" documentId="13_ncr:1_{41A04140-CADE-4D34-BAAE-08F315F7F0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Area" localSheetId="0">Sheet1!#REF!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9" i="1"/>
  <c r="N9" i="1"/>
  <c r="D38" i="1"/>
  <c r="E30" i="1" s="1"/>
  <c r="E41" i="1"/>
  <c r="E42" i="1" s="1"/>
  <c r="D42" i="1" s="1"/>
  <c r="J38" i="1" s="1"/>
  <c r="E22" i="1" l="1"/>
  <c r="J22" i="1" s="1"/>
  <c r="N22" i="1" s="1"/>
  <c r="E14" i="1"/>
  <c r="E16" i="1"/>
  <c r="J16" i="1" s="1"/>
  <c r="N16" i="1" s="1"/>
  <c r="E23" i="1"/>
  <c r="J23" i="1" s="1"/>
  <c r="N23" i="1" s="1"/>
  <c r="E24" i="1"/>
  <c r="J24" i="1" s="1"/>
  <c r="N24" i="1" s="1"/>
  <c r="E25" i="1"/>
  <c r="J25" i="1" s="1"/>
  <c r="N25" i="1" s="1"/>
  <c r="J15" i="1"/>
  <c r="N15" i="1" s="1"/>
  <c r="E26" i="1"/>
  <c r="J26" i="1" s="1"/>
  <c r="N26" i="1" s="1"/>
  <c r="E27" i="1"/>
  <c r="J27" i="1" s="1"/>
  <c r="N27" i="1" s="1"/>
  <c r="J14" i="1"/>
  <c r="N14" i="1" s="1"/>
  <c r="E31" i="1"/>
  <c r="J31" i="1" s="1"/>
  <c r="N31" i="1" s="1"/>
  <c r="E32" i="1"/>
  <c r="J32" i="1" s="1"/>
  <c r="N32" i="1" s="1"/>
  <c r="E33" i="1"/>
  <c r="J33" i="1" s="1"/>
  <c r="N33" i="1" s="1"/>
  <c r="E34" i="1"/>
  <c r="J34" i="1" s="1"/>
  <c r="N34" i="1" s="1"/>
  <c r="E11" i="1"/>
  <c r="J11" i="1" s="1"/>
  <c r="N11" i="1" s="1"/>
  <c r="E12" i="1"/>
  <c r="J12" i="1" s="1"/>
  <c r="N12" i="1" s="1"/>
  <c r="E13" i="1"/>
  <c r="J13" i="1" s="1"/>
  <c r="N13" i="1" s="1"/>
  <c r="E35" i="1"/>
  <c r="E36" i="1"/>
  <c r="E15" i="1"/>
  <c r="E37" i="1"/>
  <c r="J37" i="1" s="1"/>
  <c r="N37" i="1" s="1"/>
  <c r="E17" i="1"/>
  <c r="J17" i="1" s="1"/>
  <c r="N17" i="1" s="1"/>
  <c r="J35" i="1"/>
  <c r="N35" i="1" s="1"/>
  <c r="J36" i="1"/>
  <c r="N36" i="1" s="1"/>
  <c r="E21" i="1"/>
  <c r="J21" i="1" s="1"/>
  <c r="N21" i="1" s="1"/>
  <c r="J30" i="1"/>
  <c r="N30" i="1" s="1"/>
  <c r="E18" i="1"/>
  <c r="J18" i="1" s="1"/>
  <c r="N18" i="1" s="1"/>
  <c r="E28" i="1"/>
  <c r="J28" i="1" s="1"/>
  <c r="N28" i="1" s="1"/>
  <c r="E9" i="1"/>
  <c r="J9" i="1" s="1"/>
  <c r="E19" i="1"/>
  <c r="J19" i="1" s="1"/>
  <c r="N19" i="1" s="1"/>
  <c r="E29" i="1"/>
  <c r="J29" i="1" s="1"/>
  <c r="N29" i="1" s="1"/>
  <c r="E10" i="1"/>
  <c r="J10" i="1" s="1"/>
  <c r="N10" i="1" s="1"/>
  <c r="E20" i="1"/>
  <c r="J20" i="1" s="1"/>
  <c r="N20" i="1" s="1"/>
  <c r="N38" i="1" l="1"/>
  <c r="K31" i="1"/>
  <c r="K37" i="1"/>
  <c r="K21" i="1"/>
  <c r="K27" i="1"/>
  <c r="K26" i="1"/>
  <c r="K20" i="1"/>
  <c r="K17" i="1"/>
  <c r="K25" i="1"/>
  <c r="K29" i="1"/>
  <c r="K19" i="1"/>
  <c r="K30" i="1"/>
  <c r="K10" i="1"/>
  <c r="K34" i="1"/>
  <c r="K14" i="1"/>
  <c r="K18" i="1"/>
  <c r="K28" i="1"/>
  <c r="K36" i="1"/>
  <c r="K9" i="1"/>
  <c r="K35" i="1"/>
  <c r="K15" i="1"/>
  <c r="K16" i="1"/>
  <c r="K24" i="1"/>
  <c r="K23" i="1"/>
  <c r="K13" i="1"/>
  <c r="K11" i="1"/>
  <c r="K12" i="1"/>
  <c r="K33" i="1"/>
  <c r="K22" i="1"/>
  <c r="K32" i="1"/>
  <c r="E38" i="1"/>
  <c r="K38" i="1" l="1"/>
</calcChain>
</file>

<file path=xl/sharedStrings.xml><?xml version="1.0" encoding="utf-8"?>
<sst xmlns="http://schemas.openxmlformats.org/spreadsheetml/2006/main" count="180" uniqueCount="42">
  <si>
    <t>김태용</t>
  </si>
  <si>
    <t>보통주식</t>
  </si>
  <si>
    <t/>
  </si>
  <si>
    <t>(주)퓨처플레이</t>
  </si>
  <si>
    <t>제1종전환우선주식</t>
  </si>
  <si>
    <t>㈜데이터블</t>
  </si>
  <si>
    <t>신재식</t>
  </si>
  <si>
    <t>제2종전환우선주식</t>
  </si>
  <si>
    <t>Primer Sazze Fund II, LP</t>
  </si>
  <si>
    <t>네스트컴퍼니 개인투자조합 1호</t>
  </si>
  <si>
    <t>김성훈</t>
  </si>
  <si>
    <t>이승윤</t>
  </si>
  <si>
    <t>조성문</t>
  </si>
  <si>
    <t>서준용</t>
  </si>
  <si>
    <t>장원준</t>
  </si>
  <si>
    <t>한기용</t>
  </si>
  <si>
    <t>양형준</t>
  </si>
  <si>
    <t>합계</t>
  </si>
  <si>
    <t>M</t>
    <phoneticPr fontId="1" type="noConversion"/>
  </si>
  <si>
    <t>주주명부</t>
  </si>
  <si>
    <r>
      <rPr>
        <b/>
        <sz val="12"/>
        <color theme="1"/>
        <rFont val="Calibri"/>
        <family val="2"/>
        <charset val="129"/>
        <scheme val="major"/>
      </rPr>
      <t>주주명</t>
    </r>
  </si>
  <si>
    <r>
      <rPr>
        <b/>
        <sz val="12"/>
        <color theme="1"/>
        <rFont val="Calibri"/>
        <family val="2"/>
        <charset val="129"/>
        <scheme val="major"/>
      </rPr>
      <t>주식의</t>
    </r>
    <r>
      <rPr>
        <b/>
        <sz val="12"/>
        <color theme="1"/>
        <rFont val="Calibri"/>
        <family val="2"/>
        <scheme val="major"/>
      </rPr>
      <t xml:space="preserve"> </t>
    </r>
    <r>
      <rPr>
        <b/>
        <sz val="12"/>
        <color theme="1"/>
        <rFont val="Calibri"/>
        <family val="2"/>
        <charset val="129"/>
        <scheme val="major"/>
      </rPr>
      <t>종류</t>
    </r>
  </si>
  <si>
    <r>
      <rPr>
        <b/>
        <sz val="12"/>
        <color theme="1"/>
        <rFont val="Calibri"/>
        <family val="2"/>
        <charset val="129"/>
        <scheme val="major"/>
      </rPr>
      <t>주식의</t>
    </r>
    <r>
      <rPr>
        <b/>
        <sz val="12"/>
        <color theme="1"/>
        <rFont val="Calibri"/>
        <family val="2"/>
        <scheme val="major"/>
      </rPr>
      <t xml:space="preserve"> </t>
    </r>
    <r>
      <rPr>
        <b/>
        <sz val="12"/>
        <color theme="1"/>
        <rFont val="Calibri"/>
        <family val="2"/>
        <charset val="129"/>
        <scheme val="major"/>
      </rPr>
      <t>수</t>
    </r>
  </si>
  <si>
    <r>
      <rPr>
        <b/>
        <sz val="12"/>
        <color theme="1"/>
        <rFont val="Calibri"/>
        <family val="2"/>
        <charset val="129"/>
        <scheme val="major"/>
      </rPr>
      <t>지분율</t>
    </r>
  </si>
  <si>
    <r>
      <rPr>
        <b/>
        <sz val="12"/>
        <color theme="1"/>
        <rFont val="Calibri"/>
        <family val="2"/>
        <charset val="129"/>
        <scheme val="major"/>
      </rPr>
      <t>생년월일</t>
    </r>
    <phoneticPr fontId="1" type="noConversion"/>
  </si>
  <si>
    <r>
      <rPr>
        <b/>
        <sz val="12"/>
        <color theme="1"/>
        <rFont val="Calibri"/>
        <family val="2"/>
        <charset val="129"/>
        <scheme val="major"/>
      </rPr>
      <t>성별</t>
    </r>
    <phoneticPr fontId="1" type="noConversion"/>
  </si>
  <si>
    <r>
      <rPr>
        <b/>
        <sz val="12"/>
        <color theme="1"/>
        <rFont val="Calibri"/>
        <family val="2"/>
        <charset val="129"/>
        <scheme val="major"/>
      </rPr>
      <t>국적</t>
    </r>
    <phoneticPr fontId="1" type="noConversion"/>
  </si>
  <si>
    <r>
      <rPr>
        <sz val="12"/>
        <color theme="1"/>
        <rFont val="Calibri"/>
        <family val="2"/>
        <charset val="129"/>
        <scheme val="major"/>
      </rPr>
      <t>대한민국</t>
    </r>
    <phoneticPr fontId="1" type="noConversion"/>
  </si>
  <si>
    <r>
      <rPr>
        <sz val="12"/>
        <color theme="1"/>
        <rFont val="맑은 고딕"/>
        <family val="3"/>
        <charset val="129"/>
      </rPr>
      <t>씨엔티테크</t>
    </r>
    <r>
      <rPr>
        <sz val="12"/>
        <color theme="1"/>
        <rFont val="Calibri"/>
        <family val="2"/>
        <scheme val="major"/>
      </rPr>
      <t xml:space="preserve"> </t>
    </r>
    <r>
      <rPr>
        <sz val="12"/>
        <color theme="1"/>
        <rFont val="맑은 고딕"/>
        <family val="3"/>
        <charset val="129"/>
      </rPr>
      <t>제</t>
    </r>
    <r>
      <rPr>
        <sz val="12"/>
        <color theme="1"/>
        <rFont val="Calibri"/>
        <family val="2"/>
        <scheme val="major"/>
      </rPr>
      <t>18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Calibri"/>
        <family val="2"/>
        <scheme val="major"/>
      </rPr>
      <t xml:space="preserve"> 
</t>
    </r>
    <r>
      <rPr>
        <sz val="12"/>
        <color theme="1"/>
        <rFont val="맑은 고딕"/>
        <family val="3"/>
        <charset val="129"/>
      </rPr>
      <t>스포츠스타트업</t>
    </r>
    <r>
      <rPr>
        <sz val="12"/>
        <color theme="1"/>
        <rFont val="Calibri"/>
        <family val="2"/>
        <scheme val="major"/>
      </rPr>
      <t xml:space="preserve"> </t>
    </r>
    <r>
      <rPr>
        <sz val="12"/>
        <color theme="1"/>
        <rFont val="맑은 고딕"/>
        <family val="3"/>
        <charset val="129"/>
      </rPr>
      <t>투자조합</t>
    </r>
    <phoneticPr fontId="1" type="noConversion"/>
  </si>
  <si>
    <r>
      <rPr>
        <sz val="12"/>
        <color theme="1"/>
        <rFont val="맑은 고딕"/>
        <family val="3"/>
        <charset val="129"/>
      </rPr>
      <t>에이아이엔젤</t>
    </r>
    <r>
      <rPr>
        <sz val="12"/>
        <color theme="1"/>
        <rFont val="Calibri"/>
        <family val="2"/>
        <scheme val="major"/>
      </rPr>
      <t>-</t>
    </r>
    <r>
      <rPr>
        <sz val="12"/>
        <color theme="1"/>
        <rFont val="맑은 고딕"/>
        <family val="3"/>
        <charset val="129"/>
      </rPr>
      <t>씨엔티테크</t>
    </r>
    <r>
      <rPr>
        <sz val="12"/>
        <color theme="1"/>
        <rFont val="Calibri"/>
        <family val="2"/>
        <scheme val="major"/>
      </rPr>
      <t xml:space="preserve"> 
</t>
    </r>
    <r>
      <rPr>
        <sz val="12"/>
        <color theme="1"/>
        <rFont val="맑은 고딕"/>
        <family val="3"/>
        <charset val="129"/>
      </rPr>
      <t>개인투자조합</t>
    </r>
    <r>
      <rPr>
        <sz val="12"/>
        <color theme="1"/>
        <rFont val="Calibri"/>
        <family val="2"/>
        <scheme val="major"/>
      </rPr>
      <t xml:space="preserve"> 2</t>
    </r>
    <r>
      <rPr>
        <sz val="12"/>
        <color theme="1"/>
        <rFont val="맑은 고딕"/>
        <family val="3"/>
        <charset val="129"/>
      </rPr>
      <t>호</t>
    </r>
    <phoneticPr fontId="1" type="noConversion"/>
  </si>
  <si>
    <t>베이스디스트링
벤처투자조합</t>
    <phoneticPr fontId="1" type="noConversion"/>
  </si>
  <si>
    <r>
      <rPr>
        <sz val="12"/>
        <color theme="1"/>
        <rFont val="맑은 고딕"/>
        <family val="3"/>
        <charset val="129"/>
      </rPr>
      <t>베이스메트로놈</t>
    </r>
    <r>
      <rPr>
        <sz val="12"/>
        <color theme="1"/>
        <rFont val="Calibri"/>
        <family val="2"/>
        <scheme val="major"/>
      </rPr>
      <t xml:space="preserve"> 1 </t>
    </r>
    <r>
      <rPr>
        <sz val="12"/>
        <color theme="1"/>
        <rFont val="맑은 고딕"/>
        <family val="3"/>
        <charset val="129"/>
      </rPr>
      <t>호
벤처투자조합</t>
    </r>
    <phoneticPr fontId="1" type="noConversion"/>
  </si>
  <si>
    <t>미국법인
주식의 종류</t>
    <phoneticPr fontId="1" type="noConversion"/>
  </si>
  <si>
    <t>미국법인
주식의 수</t>
    <phoneticPr fontId="1" type="noConversion"/>
  </si>
  <si>
    <t>보통주식</t>
    <phoneticPr fontId="1" type="noConversion"/>
  </si>
  <si>
    <t>우선주식</t>
    <phoneticPr fontId="1" type="noConversion"/>
  </si>
  <si>
    <t>미국법인
지분율</t>
    <phoneticPr fontId="1" type="noConversion"/>
  </si>
  <si>
    <r>
      <t>1</t>
    </r>
    <r>
      <rPr>
        <b/>
        <sz val="12"/>
        <rFont val="맑은 고딕"/>
        <family val="2"/>
        <charset val="129"/>
      </rPr>
      <t>주당</t>
    </r>
    <r>
      <rPr>
        <b/>
        <sz val="12"/>
        <rFont val="Calibri"/>
        <family val="2"/>
      </rPr>
      <t xml:space="preserve"> </t>
    </r>
    <r>
      <rPr>
        <b/>
        <sz val="12"/>
        <rFont val="맑은 고딕"/>
        <family val="2"/>
        <charset val="129"/>
      </rPr>
      <t>평가가치</t>
    </r>
    <r>
      <rPr>
        <b/>
        <sz val="12"/>
        <rFont val="Calibri"/>
        <family val="2"/>
        <scheme val="major"/>
      </rPr>
      <t>(</t>
    </r>
    <r>
      <rPr>
        <b/>
        <sz val="12"/>
        <rFont val="맑은 고딕"/>
        <family val="2"/>
        <charset val="129"/>
      </rPr>
      <t>한국법인)</t>
    </r>
    <r>
      <rPr>
        <b/>
        <sz val="12"/>
        <rFont val="Calibri"/>
        <family val="2"/>
        <scheme val="major"/>
      </rPr>
      <t>/</t>
    </r>
    <r>
      <rPr>
        <b/>
        <sz val="12"/>
        <rFont val="맑은 고딕"/>
        <family val="2"/>
        <charset val="129"/>
      </rPr>
      <t>원</t>
    </r>
    <phoneticPr fontId="1" type="noConversion"/>
  </si>
  <si>
    <r>
      <t>1</t>
    </r>
    <r>
      <rPr>
        <b/>
        <sz val="12"/>
        <rFont val="맑은 고딕"/>
        <family val="2"/>
        <charset val="129"/>
      </rPr>
      <t>주당</t>
    </r>
    <r>
      <rPr>
        <b/>
        <sz val="12"/>
        <rFont val="Calibri"/>
        <family val="2"/>
      </rPr>
      <t xml:space="preserve"> </t>
    </r>
    <r>
      <rPr>
        <b/>
        <sz val="12"/>
        <rFont val="맑은 고딕"/>
        <family val="2"/>
        <charset val="129"/>
      </rPr>
      <t>평가가치</t>
    </r>
    <r>
      <rPr>
        <b/>
        <sz val="12"/>
        <rFont val="Calibri"/>
        <family val="2"/>
        <scheme val="major"/>
      </rPr>
      <t>(</t>
    </r>
    <r>
      <rPr>
        <b/>
        <sz val="12"/>
        <rFont val="맑은 고딕"/>
        <family val="2"/>
        <charset val="129"/>
      </rPr>
      <t>미국법인)</t>
    </r>
    <r>
      <rPr>
        <b/>
        <sz val="12"/>
        <rFont val="Calibri"/>
        <family val="2"/>
        <scheme val="major"/>
      </rPr>
      <t>/</t>
    </r>
    <r>
      <rPr>
        <b/>
        <sz val="12"/>
        <rFont val="맑은 고딕"/>
        <family val="2"/>
        <charset val="129"/>
      </rPr>
      <t>원</t>
    </r>
    <phoneticPr fontId="1" type="noConversion"/>
  </si>
  <si>
    <t>주식수</t>
    <phoneticPr fontId="1" type="noConversion"/>
  </si>
  <si>
    <t>총 평가가치</t>
    <phoneticPr fontId="1" type="noConversion"/>
  </si>
  <si>
    <r>
      <t>[</t>
    </r>
    <r>
      <rPr>
        <sz val="11"/>
        <color theme="1"/>
        <rFont val="맑은 고딕"/>
        <family val="2"/>
        <charset val="129"/>
      </rPr>
      <t>주식교환비율</t>
    </r>
    <r>
      <rPr>
        <sz val="11"/>
        <color theme="1"/>
        <rFont val="Calibri"/>
        <family val="2"/>
        <scheme val="minor"/>
      </rPr>
      <t xml:space="preserve">] 
</t>
    </r>
    <r>
      <rPr>
        <sz val="11"/>
        <color theme="1"/>
        <rFont val="맑은 고딕"/>
        <family val="2"/>
        <charset val="129"/>
      </rPr>
      <t>한국법인</t>
    </r>
    <r>
      <rPr>
        <sz val="11"/>
        <color theme="1"/>
        <rFont val="Calibri"/>
        <family val="2"/>
        <scheme val="minor"/>
      </rPr>
      <t xml:space="preserve"> : </t>
    </r>
    <r>
      <rPr>
        <sz val="11"/>
        <color theme="1"/>
        <rFont val="맑은 고딕"/>
        <family val="2"/>
        <charset val="129"/>
      </rPr>
      <t>미국법인</t>
    </r>
    <r>
      <rPr>
        <sz val="11"/>
        <color theme="1"/>
        <rFont val="Calibri"/>
        <family val="2"/>
        <scheme val="minor"/>
      </rPr>
      <t xml:space="preserve"> = 1</t>
    </r>
    <r>
      <rPr>
        <sz val="11"/>
        <color theme="1"/>
        <rFont val="맑은 고딕"/>
        <family val="2"/>
        <charset val="129"/>
      </rPr>
      <t>주</t>
    </r>
    <r>
      <rPr>
        <sz val="11"/>
        <color theme="1"/>
        <rFont val="Calibri"/>
        <family val="2"/>
        <scheme val="minor"/>
      </rPr>
      <t xml:space="preserve"> : 52.6666667</t>
    </r>
    <r>
      <rPr>
        <sz val="11"/>
        <color theme="1"/>
        <rFont val="맑은 고딕"/>
        <family val="2"/>
        <charset val="129"/>
      </rPr>
      <t>주</t>
    </r>
    <r>
      <rPr>
        <sz val="11"/>
        <color theme="1"/>
        <rFont val="Calibri"/>
        <family val="2"/>
        <scheme val="minor"/>
      </rPr>
      <t xml:space="preserve">
*(</t>
    </r>
    <r>
      <rPr>
        <sz val="11"/>
        <color theme="1"/>
        <rFont val="맑은 고딕"/>
        <family val="2"/>
        <charset val="129"/>
      </rPr>
      <t>소수점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이하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단주는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올림</t>
    </r>
    <r>
      <rPr>
        <sz val="11"/>
        <color theme="1"/>
        <rFont val="Calibri"/>
        <family val="2"/>
        <scheme val="minor"/>
      </rPr>
      <t xml:space="preserve">(Round-up)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적용</t>
    </r>
    <r>
      <rPr>
        <sz val="11"/>
        <color theme="1"/>
        <rFont val="Calibri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</si>
</sst>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8" formatCode="0.0000%"/>
    <numFmt numFmtId="179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2"/>
      <color theme="1"/>
      <name val="Calibri"/>
      <family val="2"/>
      <scheme val="major"/>
    </font>
    <font>
      <b/>
      <sz val="12"/>
      <color theme="1"/>
      <name val="Calibri"/>
      <family val="2"/>
      <scheme val="major"/>
    </font>
    <font>
      <b/>
      <sz val="12"/>
      <color theme="1"/>
      <name val="Calibri"/>
      <family val="2"/>
      <charset val="129"/>
      <scheme val="major"/>
    </font>
    <font>
      <sz val="12"/>
      <color theme="1"/>
      <name val="Calibri"/>
      <family val="2"/>
      <charset val="129"/>
      <scheme val="major"/>
    </font>
    <font>
      <b/>
      <sz val="12"/>
      <name val="Calibri"/>
      <family val="2"/>
      <scheme val="major"/>
    </font>
    <font>
      <sz val="12"/>
      <color theme="1"/>
      <name val="Calibri"/>
      <family val="3"/>
      <charset val="129"/>
      <scheme val="major"/>
    </font>
    <font>
      <b/>
      <sz val="20"/>
      <color rgb="FF000000"/>
      <name val="Calibri"/>
      <family val="2"/>
      <scheme val="major"/>
    </font>
    <font>
      <sz val="12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2"/>
      <color theme="1"/>
      <name val="맑은 고딕"/>
      <family val="2"/>
      <charset val="129"/>
    </font>
    <font>
      <sz val="12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b/>
      <sz val="12"/>
      <name val="맑은 고딕"/>
      <family val="2"/>
      <charset val="129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1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16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/>
    </xf>
    <xf numFmtId="43" fontId="16" fillId="4" borderId="1" xfId="0" applyNumberFormat="1" applyFont="1" applyFill="1" applyBorder="1" applyAlignment="1">
      <alignment horizontal="center"/>
    </xf>
    <xf numFmtId="41" fontId="16" fillId="4" borderId="1" xfId="0" applyNumberFormat="1" applyFont="1" applyFill="1" applyBorder="1" applyAlignment="1">
      <alignment horizontal="center"/>
    </xf>
    <xf numFmtId="9" fontId="2" fillId="0" borderId="1" xfId="3" applyFont="1" applyBorder="1" applyAlignment="1">
      <alignment horizontal="right" vertical="center"/>
    </xf>
    <xf numFmtId="178" fontId="2" fillId="0" borderId="1" xfId="3" applyNumberFormat="1" applyFont="1" applyBorder="1" applyAlignment="1">
      <alignment horizontal="right" vertical="center"/>
    </xf>
    <xf numFmtId="178" fontId="2" fillId="0" borderId="1" xfId="0" applyNumberFormat="1" applyFont="1" applyBorder="1" applyAlignment="1">
      <alignment horizontal="right" vertical="center"/>
    </xf>
    <xf numFmtId="4" fontId="0" fillId="0" borderId="0" xfId="0" applyNumberFormat="1"/>
    <xf numFmtId="178" fontId="0" fillId="0" borderId="0" xfId="0" applyNumberFormat="1"/>
    <xf numFmtId="179" fontId="2" fillId="0" borderId="3" xfId="2" applyNumberFormat="1" applyFont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1" fontId="0" fillId="0" borderId="0" xfId="1" applyFont="1" applyAlignment="1"/>
    <xf numFmtId="43" fontId="0" fillId="0" borderId="0" xfId="0" applyNumberFormat="1"/>
    <xf numFmtId="0" fontId="0" fillId="4" borderId="11" xfId="0" applyFill="1" applyBorder="1" applyAlignment="1">
      <alignment horizontal="left" vertical="center" wrapText="1"/>
    </xf>
    <xf numFmtId="0" fontId="0" fillId="4" borderId="0" xfId="0" applyFill="1" applyBorder="1" applyAlignment="1">
      <alignment horizontal="left" vertical="center" wrapText="1"/>
    </xf>
    <xf numFmtId="4" fontId="0" fillId="6" borderId="1" xfId="0" applyNumberFormat="1" applyFill="1" applyBorder="1"/>
    <xf numFmtId="4" fontId="0" fillId="6" borderId="9" xfId="0" applyNumberFormat="1" applyFill="1" applyBorder="1"/>
    <xf numFmtId="4" fontId="0" fillId="6" borderId="10" xfId="0" applyNumberFormat="1" applyFill="1" applyBorder="1"/>
  </cellXfs>
  <cellStyles count="4">
    <cellStyle name="백분율" xfId="3" builtinId="5"/>
    <cellStyle name="쉼표" xfId="2" builtinId="3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P42"/>
  <sheetViews>
    <sheetView showGridLines="0" tabSelected="1" topLeftCell="A3" zoomScaleNormal="100" workbookViewId="0">
      <selection activeCell="Q12" sqref="Q12"/>
    </sheetView>
  </sheetViews>
  <sheetFormatPr defaultColWidth="14.42578125" defaultRowHeight="15" x14ac:dyDescent="0.25"/>
  <cols>
    <col min="1" max="1" width="8.28515625" customWidth="1"/>
    <col min="2" max="2" width="50.7109375" style="2" customWidth="1"/>
    <col min="3" max="3" width="22.42578125" style="2" customWidth="1"/>
    <col min="4" max="4" width="15.140625" style="1" bestFit="1" customWidth="1"/>
    <col min="5" max="5" width="15.7109375" bestFit="1" customWidth="1"/>
    <col min="6" max="6" width="10.42578125" hidden="1" customWidth="1"/>
    <col min="7" max="7" width="6.28515625" hidden="1" customWidth="1"/>
    <col min="8" max="8" width="10.28515625" hidden="1" customWidth="1"/>
    <col min="9" max="9" width="19.140625" customWidth="1"/>
    <col min="10" max="10" width="16.28515625" hidden="1" customWidth="1"/>
    <col min="11" max="11" width="18.42578125" hidden="1" customWidth="1"/>
    <col min="12" max="12" width="8.85546875" hidden="1" customWidth="1"/>
    <col min="13" max="13" width="11.28515625" hidden="1" customWidth="1"/>
    <col min="14" max="14" width="15.42578125" customWidth="1"/>
    <col min="16" max="16" width="15.42578125" bestFit="1" customWidth="1"/>
  </cols>
  <sheetData>
    <row r="5" spans="2:16" ht="2.1" customHeight="1" x14ac:dyDescent="0.25"/>
    <row r="6" spans="2:16" ht="46.5" customHeight="1" x14ac:dyDescent="0.25">
      <c r="B6" s="3"/>
      <c r="C6" s="6" t="s">
        <v>19</v>
      </c>
      <c r="D6" s="4"/>
      <c r="E6" s="5"/>
      <c r="F6" s="5"/>
      <c r="G6" s="5"/>
      <c r="H6" s="5"/>
      <c r="I6" s="47" t="s">
        <v>41</v>
      </c>
      <c r="J6" s="48"/>
      <c r="K6" s="48"/>
      <c r="L6" s="48"/>
      <c r="M6" s="48"/>
      <c r="N6" s="48"/>
      <c r="O6" s="48"/>
    </row>
    <row r="7" spans="2:16" x14ac:dyDescent="0.25">
      <c r="B7" s="14"/>
      <c r="C7"/>
      <c r="D7"/>
      <c r="H7" s="15"/>
    </row>
    <row r="8" spans="2:16" ht="34.5" x14ac:dyDescent="0.25">
      <c r="B8" s="7" t="s">
        <v>20</v>
      </c>
      <c r="C8" s="7" t="s">
        <v>21</v>
      </c>
      <c r="D8" s="8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19" t="s">
        <v>32</v>
      </c>
      <c r="J8" s="19" t="s">
        <v>33</v>
      </c>
      <c r="K8" s="19" t="s">
        <v>36</v>
      </c>
      <c r="N8" s="19" t="s">
        <v>33</v>
      </c>
      <c r="O8" s="19" t="s">
        <v>36</v>
      </c>
    </row>
    <row r="9" spans="2:16" ht="17.25" x14ac:dyDescent="0.25">
      <c r="B9" s="16" t="s">
        <v>0</v>
      </c>
      <c r="C9" s="16" t="s">
        <v>1</v>
      </c>
      <c r="D9" s="17">
        <v>9903</v>
      </c>
      <c r="E9" s="37">
        <f>D9/$D$38</f>
        <v>0.80656458706629741</v>
      </c>
      <c r="F9" s="16">
        <v>901103</v>
      </c>
      <c r="G9" s="16" t="s">
        <v>18</v>
      </c>
      <c r="H9" s="16" t="s">
        <v>27</v>
      </c>
      <c r="I9" s="20" t="s">
        <v>34</v>
      </c>
      <c r="J9" s="26">
        <f>$J$38*E9</f>
        <v>521558</v>
      </c>
      <c r="K9" s="36">
        <f>J9/$J$38</f>
        <v>0.80656458706629741</v>
      </c>
      <c r="M9" s="45"/>
      <c r="N9" s="49">
        <f>ROUNDUP(J9,0)</f>
        <v>521558</v>
      </c>
      <c r="O9" s="36">
        <f>N9/$N$38</f>
        <v>0.80655252988087855</v>
      </c>
      <c r="P9" s="46"/>
    </row>
    <row r="10" spans="2:16" ht="17.25" x14ac:dyDescent="0.25">
      <c r="B10" s="43" t="s">
        <v>3</v>
      </c>
      <c r="C10" s="16" t="s">
        <v>1</v>
      </c>
      <c r="D10" s="17">
        <v>17</v>
      </c>
      <c r="E10" s="37">
        <f t="shared" ref="E10:E37" si="0">D10/$D$38</f>
        <v>1.3845903241570289E-3</v>
      </c>
      <c r="F10" s="18" t="s">
        <v>2</v>
      </c>
      <c r="G10" s="18" t="s">
        <v>2</v>
      </c>
      <c r="H10" s="18" t="s">
        <v>2</v>
      </c>
      <c r="I10" s="20" t="s">
        <v>34</v>
      </c>
      <c r="J10" s="26">
        <f t="shared" ref="J10:J37" si="1">$J$38*E10</f>
        <v>895.33333333333348</v>
      </c>
      <c r="K10" s="36">
        <f t="shared" ref="K10:K37" si="2">J10/$J$38</f>
        <v>1.3845903241570289E-3</v>
      </c>
      <c r="N10" s="49">
        <f t="shared" ref="N10:N37" si="3">ROUNDUP(J10,0)</f>
        <v>896</v>
      </c>
      <c r="O10" s="36">
        <f t="shared" ref="O10:O38" si="4">N10/$N$38</f>
        <v>1.3856005789830992E-3</v>
      </c>
    </row>
    <row r="11" spans="2:16" ht="17.25" x14ac:dyDescent="0.25">
      <c r="B11" s="43"/>
      <c r="C11" s="16" t="s">
        <v>4</v>
      </c>
      <c r="D11" s="17">
        <v>407</v>
      </c>
      <c r="E11" s="37">
        <f t="shared" si="0"/>
        <v>3.3148721290112398E-2</v>
      </c>
      <c r="F11" s="18" t="s">
        <v>2</v>
      </c>
      <c r="G11" s="18" t="s">
        <v>2</v>
      </c>
      <c r="H11" s="18" t="s">
        <v>2</v>
      </c>
      <c r="I11" s="20" t="s">
        <v>35</v>
      </c>
      <c r="J11" s="26">
        <f t="shared" si="1"/>
        <v>21435.333333333336</v>
      </c>
      <c r="K11" s="36">
        <f t="shared" si="2"/>
        <v>3.3148721290112398E-2</v>
      </c>
      <c r="N11" s="49">
        <f t="shared" si="3"/>
        <v>21436</v>
      </c>
      <c r="O11" s="36">
        <f t="shared" si="4"/>
        <v>3.3149256708796551E-2</v>
      </c>
    </row>
    <row r="12" spans="2:16" ht="17.25" x14ac:dyDescent="0.25">
      <c r="B12" s="43" t="s">
        <v>5</v>
      </c>
      <c r="C12" s="16" t="s">
        <v>1</v>
      </c>
      <c r="D12" s="17">
        <v>4</v>
      </c>
      <c r="E12" s="37">
        <f t="shared" si="0"/>
        <v>3.2578595862518323E-4</v>
      </c>
      <c r="F12" s="18" t="s">
        <v>2</v>
      </c>
      <c r="G12" s="18" t="s">
        <v>2</v>
      </c>
      <c r="H12" s="18" t="s">
        <v>2</v>
      </c>
      <c r="I12" s="20" t="s">
        <v>34</v>
      </c>
      <c r="J12" s="26">
        <f t="shared" si="1"/>
        <v>210.66666666666666</v>
      </c>
      <c r="K12" s="36">
        <f t="shared" si="2"/>
        <v>3.2578595862518323E-4</v>
      </c>
      <c r="N12" s="49">
        <f t="shared" si="3"/>
        <v>211</v>
      </c>
      <c r="O12" s="36">
        <f t="shared" si="4"/>
        <v>3.2629656491677889E-4</v>
      </c>
    </row>
    <row r="13" spans="2:16" ht="17.25" x14ac:dyDescent="0.25">
      <c r="B13" s="43"/>
      <c r="C13" s="16" t="s">
        <v>4</v>
      </c>
      <c r="D13" s="17">
        <v>100</v>
      </c>
      <c r="E13" s="37">
        <f t="shared" si="0"/>
        <v>8.1446489656295806E-3</v>
      </c>
      <c r="F13" s="18" t="s">
        <v>2</v>
      </c>
      <c r="G13" s="18" t="s">
        <v>2</v>
      </c>
      <c r="H13" s="18" t="s">
        <v>2</v>
      </c>
      <c r="I13" s="20" t="s">
        <v>35</v>
      </c>
      <c r="J13" s="26">
        <f t="shared" si="1"/>
        <v>5266.6666666666661</v>
      </c>
      <c r="K13" s="36">
        <f t="shared" si="2"/>
        <v>8.1446489656295806E-3</v>
      </c>
      <c r="N13" s="49">
        <f t="shared" si="3"/>
        <v>5267</v>
      </c>
      <c r="O13" s="36">
        <f t="shared" si="4"/>
        <v>8.1450426891785527E-3</v>
      </c>
    </row>
    <row r="14" spans="2:16" ht="17.25" x14ac:dyDescent="0.25">
      <c r="B14" s="43" t="s">
        <v>6</v>
      </c>
      <c r="C14" s="16" t="s">
        <v>1</v>
      </c>
      <c r="D14" s="17">
        <v>17</v>
      </c>
      <c r="E14" s="37">
        <f t="shared" si="0"/>
        <v>1.3845903241570289E-3</v>
      </c>
      <c r="F14" s="18" t="s">
        <v>2</v>
      </c>
      <c r="G14" s="18" t="s">
        <v>2</v>
      </c>
      <c r="H14" s="18" t="s">
        <v>2</v>
      </c>
      <c r="I14" s="20" t="s">
        <v>34</v>
      </c>
      <c r="J14" s="26">
        <f t="shared" si="1"/>
        <v>895.33333333333348</v>
      </c>
      <c r="K14" s="36">
        <f t="shared" si="2"/>
        <v>1.3845903241570289E-3</v>
      </c>
      <c r="N14" s="49">
        <f t="shared" si="3"/>
        <v>896</v>
      </c>
      <c r="O14" s="36">
        <f t="shared" si="4"/>
        <v>1.3856005789830992E-3</v>
      </c>
    </row>
    <row r="15" spans="2:16" ht="17.25" x14ac:dyDescent="0.25">
      <c r="B15" s="43"/>
      <c r="C15" s="16" t="s">
        <v>4</v>
      </c>
      <c r="D15" s="17">
        <v>407</v>
      </c>
      <c r="E15" s="37">
        <f t="shared" si="0"/>
        <v>3.3148721290112398E-2</v>
      </c>
      <c r="F15" s="18" t="s">
        <v>2</v>
      </c>
      <c r="G15" s="18" t="s">
        <v>2</v>
      </c>
      <c r="H15" s="18" t="s">
        <v>2</v>
      </c>
      <c r="I15" s="20" t="s">
        <v>35</v>
      </c>
      <c r="J15" s="26">
        <f t="shared" si="1"/>
        <v>21435.333333333336</v>
      </c>
      <c r="K15" s="36">
        <f t="shared" si="2"/>
        <v>3.3148721290112398E-2</v>
      </c>
      <c r="N15" s="49">
        <f t="shared" si="3"/>
        <v>21436</v>
      </c>
      <c r="O15" s="36">
        <f t="shared" si="4"/>
        <v>3.3149256708796551E-2</v>
      </c>
    </row>
    <row r="16" spans="2:16" ht="17.25" x14ac:dyDescent="0.25">
      <c r="B16" s="44" t="s">
        <v>30</v>
      </c>
      <c r="C16" s="16" t="s">
        <v>7</v>
      </c>
      <c r="D16" s="17">
        <v>177</v>
      </c>
      <c r="E16" s="37">
        <f t="shared" si="0"/>
        <v>1.4416028669164358E-2</v>
      </c>
      <c r="F16" s="18" t="s">
        <v>2</v>
      </c>
      <c r="G16" s="18" t="s">
        <v>2</v>
      </c>
      <c r="H16" s="18" t="s">
        <v>2</v>
      </c>
      <c r="I16" s="20" t="s">
        <v>35</v>
      </c>
      <c r="J16" s="26">
        <f t="shared" si="1"/>
        <v>9322</v>
      </c>
      <c r="K16" s="36">
        <f t="shared" si="2"/>
        <v>1.4416028669164358E-2</v>
      </c>
      <c r="N16" s="49">
        <f t="shared" si="3"/>
        <v>9322</v>
      </c>
      <c r="O16" s="36">
        <f t="shared" si="4"/>
        <v>1.4415813166607644E-2</v>
      </c>
    </row>
    <row r="17" spans="2:15" ht="17.25" x14ac:dyDescent="0.25">
      <c r="B17" s="43"/>
      <c r="C17" s="16" t="s">
        <v>1</v>
      </c>
      <c r="D17" s="17">
        <v>13</v>
      </c>
      <c r="E17" s="37">
        <f t="shared" si="0"/>
        <v>1.0588043655318457E-3</v>
      </c>
      <c r="F17" s="18" t="s">
        <v>2</v>
      </c>
      <c r="G17" s="18" t="s">
        <v>2</v>
      </c>
      <c r="H17" s="18" t="s">
        <v>2</v>
      </c>
      <c r="I17" s="20" t="s">
        <v>34</v>
      </c>
      <c r="J17" s="26">
        <f t="shared" si="1"/>
        <v>684.66666666666674</v>
      </c>
      <c r="K17" s="36">
        <f t="shared" si="2"/>
        <v>1.0588043655318457E-3</v>
      </c>
      <c r="N17" s="49">
        <f t="shared" si="3"/>
        <v>685</v>
      </c>
      <c r="O17" s="36">
        <f t="shared" si="4"/>
        <v>1.0593040140663202E-3</v>
      </c>
    </row>
    <row r="18" spans="2:15" ht="17.25" x14ac:dyDescent="0.25">
      <c r="B18" s="43"/>
      <c r="C18" s="16" t="s">
        <v>4</v>
      </c>
      <c r="D18" s="17">
        <v>121</v>
      </c>
      <c r="E18" s="37">
        <f t="shared" si="0"/>
        <v>9.8550252484117928E-3</v>
      </c>
      <c r="F18" s="18" t="s">
        <v>2</v>
      </c>
      <c r="G18" s="18" t="s">
        <v>2</v>
      </c>
      <c r="H18" s="18" t="s">
        <v>2</v>
      </c>
      <c r="I18" s="20" t="s">
        <v>35</v>
      </c>
      <c r="J18" s="26">
        <f t="shared" si="1"/>
        <v>6372.666666666667</v>
      </c>
      <c r="K18" s="36">
        <f t="shared" si="2"/>
        <v>9.8550252484117928E-3</v>
      </c>
      <c r="N18" s="49">
        <f t="shared" si="3"/>
        <v>6373</v>
      </c>
      <c r="O18" s="36">
        <f t="shared" si="4"/>
        <v>9.8553934038608151E-3</v>
      </c>
    </row>
    <row r="19" spans="2:15" ht="17.25" x14ac:dyDescent="0.25">
      <c r="B19" s="42" t="s">
        <v>31</v>
      </c>
      <c r="C19" s="16" t="s">
        <v>7</v>
      </c>
      <c r="D19" s="17">
        <v>188</v>
      </c>
      <c r="E19" s="37">
        <f t="shared" si="0"/>
        <v>1.5311940055383612E-2</v>
      </c>
      <c r="F19" s="18" t="s">
        <v>2</v>
      </c>
      <c r="G19" s="18" t="s">
        <v>2</v>
      </c>
      <c r="H19" s="18" t="s">
        <v>2</v>
      </c>
      <c r="I19" s="20" t="s">
        <v>35</v>
      </c>
      <c r="J19" s="26">
        <f t="shared" si="1"/>
        <v>9901.3333333333339</v>
      </c>
      <c r="K19" s="36">
        <f t="shared" si="2"/>
        <v>1.5311940055383612E-2</v>
      </c>
      <c r="N19" s="49">
        <f t="shared" si="3"/>
        <v>9902</v>
      </c>
      <c r="O19" s="36">
        <f t="shared" si="4"/>
        <v>1.5312742112824382E-2</v>
      </c>
    </row>
    <row r="20" spans="2:15" ht="17.25" x14ac:dyDescent="0.25">
      <c r="B20" s="43"/>
      <c r="C20" s="16" t="s">
        <v>1</v>
      </c>
      <c r="D20" s="17">
        <v>13</v>
      </c>
      <c r="E20" s="37">
        <f t="shared" si="0"/>
        <v>1.0588043655318457E-3</v>
      </c>
      <c r="F20" s="18" t="s">
        <v>2</v>
      </c>
      <c r="G20" s="18" t="s">
        <v>2</v>
      </c>
      <c r="H20" s="18" t="s">
        <v>2</v>
      </c>
      <c r="I20" s="20" t="s">
        <v>34</v>
      </c>
      <c r="J20" s="26">
        <f t="shared" si="1"/>
        <v>684.66666666666674</v>
      </c>
      <c r="K20" s="36">
        <f t="shared" si="2"/>
        <v>1.0588043655318457E-3</v>
      </c>
      <c r="N20" s="49">
        <f t="shared" si="3"/>
        <v>685</v>
      </c>
      <c r="O20" s="36">
        <f t="shared" si="4"/>
        <v>1.0593040140663202E-3</v>
      </c>
    </row>
    <row r="21" spans="2:15" ht="17.25" x14ac:dyDescent="0.25">
      <c r="B21" s="43"/>
      <c r="C21" s="16" t="s">
        <v>4</v>
      </c>
      <c r="D21" s="17">
        <v>129</v>
      </c>
      <c r="E21" s="37">
        <f t="shared" si="0"/>
        <v>1.0506597165662161E-2</v>
      </c>
      <c r="F21" s="18" t="s">
        <v>2</v>
      </c>
      <c r="G21" s="18" t="s">
        <v>2</v>
      </c>
      <c r="H21" s="18" t="s">
        <v>2</v>
      </c>
      <c r="I21" s="20" t="s">
        <v>35</v>
      </c>
      <c r="J21" s="26">
        <f t="shared" si="1"/>
        <v>6794.0000000000009</v>
      </c>
      <c r="K21" s="36">
        <f t="shared" si="2"/>
        <v>1.0506597165662161E-2</v>
      </c>
      <c r="N21" s="49">
        <f t="shared" si="3"/>
        <v>6794</v>
      </c>
      <c r="O21" s="36">
        <f t="shared" si="4"/>
        <v>1.0506440104476758E-2</v>
      </c>
    </row>
    <row r="22" spans="2:15" ht="17.25" x14ac:dyDescent="0.25">
      <c r="B22" s="43" t="s">
        <v>8</v>
      </c>
      <c r="C22" s="16" t="s">
        <v>7</v>
      </c>
      <c r="D22" s="17">
        <v>351</v>
      </c>
      <c r="E22" s="37">
        <f t="shared" si="0"/>
        <v>2.8587717869359829E-2</v>
      </c>
      <c r="F22" s="18" t="s">
        <v>2</v>
      </c>
      <c r="G22" s="18" t="s">
        <v>2</v>
      </c>
      <c r="H22" s="18" t="s">
        <v>2</v>
      </c>
      <c r="I22" s="20" t="s">
        <v>35</v>
      </c>
      <c r="J22" s="26">
        <f t="shared" si="1"/>
        <v>18486</v>
      </c>
      <c r="K22" s="36">
        <f t="shared" si="2"/>
        <v>2.8587717869359829E-2</v>
      </c>
      <c r="N22" s="49">
        <f t="shared" si="3"/>
        <v>18486</v>
      </c>
      <c r="O22" s="36">
        <f t="shared" si="4"/>
        <v>2.858729051683211E-2</v>
      </c>
    </row>
    <row r="23" spans="2:15" ht="17.25" x14ac:dyDescent="0.25">
      <c r="B23" s="43"/>
      <c r="C23" s="16" t="s">
        <v>1</v>
      </c>
      <c r="D23" s="17">
        <v>17</v>
      </c>
      <c r="E23" s="37">
        <f t="shared" si="0"/>
        <v>1.3845903241570289E-3</v>
      </c>
      <c r="F23" s="18" t="s">
        <v>2</v>
      </c>
      <c r="G23" s="18" t="s">
        <v>2</v>
      </c>
      <c r="H23" s="18" t="s">
        <v>2</v>
      </c>
      <c r="I23" s="20" t="s">
        <v>34</v>
      </c>
      <c r="J23" s="26">
        <f t="shared" si="1"/>
        <v>895.33333333333348</v>
      </c>
      <c r="K23" s="36">
        <f t="shared" si="2"/>
        <v>1.3845903241570289E-3</v>
      </c>
      <c r="N23" s="49">
        <f t="shared" si="3"/>
        <v>896</v>
      </c>
      <c r="O23" s="36">
        <f t="shared" si="4"/>
        <v>1.3856005789830992E-3</v>
      </c>
    </row>
    <row r="24" spans="2:15" ht="17.25" x14ac:dyDescent="0.25">
      <c r="B24" s="43"/>
      <c r="C24" s="16" t="s">
        <v>4</v>
      </c>
      <c r="D24" s="17">
        <v>57</v>
      </c>
      <c r="E24" s="37">
        <f t="shared" si="0"/>
        <v>4.642449910408861E-3</v>
      </c>
      <c r="F24" s="18" t="s">
        <v>2</v>
      </c>
      <c r="G24" s="18" t="s">
        <v>2</v>
      </c>
      <c r="H24" s="18" t="s">
        <v>2</v>
      </c>
      <c r="I24" s="20" t="s">
        <v>35</v>
      </c>
      <c r="J24" s="26">
        <f t="shared" si="1"/>
        <v>3002</v>
      </c>
      <c r="K24" s="36">
        <f t="shared" si="2"/>
        <v>4.642449910408861E-3</v>
      </c>
      <c r="N24" s="49">
        <f t="shared" si="3"/>
        <v>3002</v>
      </c>
      <c r="O24" s="36">
        <f t="shared" si="4"/>
        <v>4.6423805112804284E-3</v>
      </c>
    </row>
    <row r="25" spans="2:15" ht="17.25" x14ac:dyDescent="0.25">
      <c r="B25" s="43" t="s">
        <v>9</v>
      </c>
      <c r="C25" s="16" t="s">
        <v>7</v>
      </c>
      <c r="D25" s="17">
        <v>63</v>
      </c>
      <c r="E25" s="37">
        <f t="shared" si="0"/>
        <v>5.1311288483466364E-3</v>
      </c>
      <c r="F25" s="18" t="s">
        <v>2</v>
      </c>
      <c r="G25" s="18" t="s">
        <v>2</v>
      </c>
      <c r="H25" s="18" t="s">
        <v>2</v>
      </c>
      <c r="I25" s="20" t="s">
        <v>35</v>
      </c>
      <c r="J25" s="26">
        <f t="shared" si="1"/>
        <v>3318.0000000000005</v>
      </c>
      <c r="K25" s="36">
        <f t="shared" si="2"/>
        <v>5.1311288483466364E-3</v>
      </c>
      <c r="N25" s="49">
        <f t="shared" si="3"/>
        <v>3318</v>
      </c>
      <c r="O25" s="36">
        <f t="shared" si="4"/>
        <v>5.1310521440467889E-3</v>
      </c>
    </row>
    <row r="26" spans="2:15" ht="17.25" x14ac:dyDescent="0.25">
      <c r="B26" s="43"/>
      <c r="C26" s="16" t="s">
        <v>1</v>
      </c>
      <c r="D26" s="17">
        <v>3</v>
      </c>
      <c r="E26" s="37">
        <f t="shared" si="0"/>
        <v>2.4433946896888743E-4</v>
      </c>
      <c r="F26" s="18" t="s">
        <v>2</v>
      </c>
      <c r="G26" s="18" t="s">
        <v>2</v>
      </c>
      <c r="H26" s="18" t="s">
        <v>2</v>
      </c>
      <c r="I26" s="20" t="s">
        <v>34</v>
      </c>
      <c r="J26" s="26">
        <f t="shared" si="1"/>
        <v>158</v>
      </c>
      <c r="K26" s="36">
        <f t="shared" si="2"/>
        <v>2.4433946896888743E-4</v>
      </c>
      <c r="N26" s="49">
        <f t="shared" si="3"/>
        <v>158</v>
      </c>
      <c r="O26" s="36">
        <f t="shared" si="4"/>
        <v>2.4433581638318044E-4</v>
      </c>
    </row>
    <row r="27" spans="2:15" ht="17.25" x14ac:dyDescent="0.25">
      <c r="B27" s="42" t="s">
        <v>28</v>
      </c>
      <c r="C27" s="16" t="s">
        <v>7</v>
      </c>
      <c r="D27" s="17">
        <v>71</v>
      </c>
      <c r="E27" s="37">
        <f t="shared" si="0"/>
        <v>5.7827007655970025E-3</v>
      </c>
      <c r="F27" s="18" t="s">
        <v>2</v>
      </c>
      <c r="G27" s="18" t="s">
        <v>2</v>
      </c>
      <c r="H27" s="18" t="s">
        <v>2</v>
      </c>
      <c r="I27" s="20" t="s">
        <v>35</v>
      </c>
      <c r="J27" s="26">
        <f t="shared" si="1"/>
        <v>3739.3333333333335</v>
      </c>
      <c r="K27" s="36">
        <f t="shared" si="2"/>
        <v>5.7827007655970025E-3</v>
      </c>
      <c r="N27" s="49">
        <f t="shared" si="3"/>
        <v>3740</v>
      </c>
      <c r="O27" s="36">
        <f t="shared" si="4"/>
        <v>5.7836452738803468E-3</v>
      </c>
    </row>
    <row r="28" spans="2:15" ht="17.25" x14ac:dyDescent="0.25">
      <c r="B28" s="43"/>
      <c r="C28" s="16" t="s">
        <v>1</v>
      </c>
      <c r="D28" s="17">
        <v>3</v>
      </c>
      <c r="E28" s="37">
        <f t="shared" si="0"/>
        <v>2.4433946896888743E-4</v>
      </c>
      <c r="F28" s="18" t="s">
        <v>2</v>
      </c>
      <c r="G28" s="18" t="s">
        <v>2</v>
      </c>
      <c r="H28" s="18" t="s">
        <v>2</v>
      </c>
      <c r="I28" s="20" t="s">
        <v>34</v>
      </c>
      <c r="J28" s="26">
        <f t="shared" si="1"/>
        <v>158</v>
      </c>
      <c r="K28" s="36">
        <f t="shared" si="2"/>
        <v>2.4433946896888743E-4</v>
      </c>
      <c r="N28" s="49">
        <f t="shared" si="3"/>
        <v>158</v>
      </c>
      <c r="O28" s="36">
        <f t="shared" si="4"/>
        <v>2.4433581638318044E-4</v>
      </c>
    </row>
    <row r="29" spans="2:15" ht="17.25" x14ac:dyDescent="0.25">
      <c r="B29" s="42" t="s">
        <v>29</v>
      </c>
      <c r="C29" s="16" t="s">
        <v>7</v>
      </c>
      <c r="D29" s="17">
        <v>71</v>
      </c>
      <c r="E29" s="37">
        <f t="shared" si="0"/>
        <v>5.7827007655970025E-3</v>
      </c>
      <c r="F29" s="18" t="s">
        <v>2</v>
      </c>
      <c r="G29" s="18" t="s">
        <v>2</v>
      </c>
      <c r="H29" s="18" t="s">
        <v>2</v>
      </c>
      <c r="I29" s="20" t="s">
        <v>35</v>
      </c>
      <c r="J29" s="26">
        <f t="shared" si="1"/>
        <v>3739.3333333333335</v>
      </c>
      <c r="K29" s="36">
        <f t="shared" si="2"/>
        <v>5.7827007655970025E-3</v>
      </c>
      <c r="N29" s="49">
        <f t="shared" si="3"/>
        <v>3740</v>
      </c>
      <c r="O29" s="36">
        <f t="shared" si="4"/>
        <v>5.7836452738803468E-3</v>
      </c>
    </row>
    <row r="30" spans="2:15" ht="17.25" x14ac:dyDescent="0.25">
      <c r="B30" s="43"/>
      <c r="C30" s="16" t="s">
        <v>1</v>
      </c>
      <c r="D30" s="17">
        <v>3</v>
      </c>
      <c r="E30" s="37">
        <f t="shared" si="0"/>
        <v>2.4433946896888743E-4</v>
      </c>
      <c r="F30" s="18" t="s">
        <v>2</v>
      </c>
      <c r="G30" s="18" t="s">
        <v>2</v>
      </c>
      <c r="H30" s="18" t="s">
        <v>2</v>
      </c>
      <c r="I30" s="20" t="s">
        <v>34</v>
      </c>
      <c r="J30" s="26">
        <f t="shared" si="1"/>
        <v>158</v>
      </c>
      <c r="K30" s="36">
        <f t="shared" si="2"/>
        <v>2.4433946896888743E-4</v>
      </c>
      <c r="N30" s="49">
        <f t="shared" si="3"/>
        <v>158</v>
      </c>
      <c r="O30" s="36">
        <f t="shared" si="4"/>
        <v>2.4433581638318044E-4</v>
      </c>
    </row>
    <row r="31" spans="2:15" ht="17.25" x14ac:dyDescent="0.25">
      <c r="B31" s="16" t="s">
        <v>10</v>
      </c>
      <c r="C31" s="16" t="s">
        <v>1</v>
      </c>
      <c r="D31" s="17">
        <v>16</v>
      </c>
      <c r="E31" s="37">
        <f t="shared" si="0"/>
        <v>1.3031438345007329E-3</v>
      </c>
      <c r="F31" s="18" t="s">
        <v>2</v>
      </c>
      <c r="G31" s="18" t="s">
        <v>2</v>
      </c>
      <c r="H31" s="18" t="s">
        <v>2</v>
      </c>
      <c r="I31" s="20" t="s">
        <v>34</v>
      </c>
      <c r="J31" s="26">
        <f t="shared" si="1"/>
        <v>842.66666666666663</v>
      </c>
      <c r="K31" s="36">
        <f t="shared" si="2"/>
        <v>1.3031438345007329E-3</v>
      </c>
      <c r="N31" s="49">
        <f t="shared" si="3"/>
        <v>843</v>
      </c>
      <c r="O31" s="36">
        <f t="shared" si="4"/>
        <v>1.3036398304495005E-3</v>
      </c>
    </row>
    <row r="32" spans="2:15" ht="17.25" x14ac:dyDescent="0.25">
      <c r="B32" s="16" t="s">
        <v>11</v>
      </c>
      <c r="C32" s="16" t="s">
        <v>1</v>
      </c>
      <c r="D32" s="17">
        <v>38</v>
      </c>
      <c r="E32" s="37">
        <f t="shared" si="0"/>
        <v>3.0949666069392408E-3</v>
      </c>
      <c r="F32" s="18" t="s">
        <v>2</v>
      </c>
      <c r="G32" s="18" t="s">
        <v>2</v>
      </c>
      <c r="H32" s="18" t="s">
        <v>2</v>
      </c>
      <c r="I32" s="20" t="s">
        <v>34</v>
      </c>
      <c r="J32" s="26">
        <f t="shared" si="1"/>
        <v>2001.3333333333335</v>
      </c>
      <c r="K32" s="36">
        <f t="shared" si="2"/>
        <v>3.0949666069392408E-3</v>
      </c>
      <c r="N32" s="49">
        <f t="shared" si="3"/>
        <v>2002</v>
      </c>
      <c r="O32" s="36">
        <f t="shared" si="4"/>
        <v>3.095951293665362E-3</v>
      </c>
    </row>
    <row r="33" spans="2:15" ht="17.25" x14ac:dyDescent="0.25">
      <c r="B33" s="16" t="s">
        <v>12</v>
      </c>
      <c r="C33" s="16" t="s">
        <v>1</v>
      </c>
      <c r="D33" s="17">
        <v>30</v>
      </c>
      <c r="E33" s="37">
        <f t="shared" si="0"/>
        <v>2.4433946896888744E-3</v>
      </c>
      <c r="F33" s="18" t="s">
        <v>2</v>
      </c>
      <c r="G33" s="18" t="s">
        <v>2</v>
      </c>
      <c r="H33" s="18" t="s">
        <v>2</v>
      </c>
      <c r="I33" s="20" t="s">
        <v>34</v>
      </c>
      <c r="J33" s="26">
        <f t="shared" si="1"/>
        <v>1580</v>
      </c>
      <c r="K33" s="36">
        <f t="shared" si="2"/>
        <v>2.4433946896888744E-3</v>
      </c>
      <c r="N33" s="49">
        <f t="shared" si="3"/>
        <v>1580</v>
      </c>
      <c r="O33" s="36">
        <f t="shared" si="4"/>
        <v>2.4433581638318041E-3</v>
      </c>
    </row>
    <row r="34" spans="2:15" ht="17.25" x14ac:dyDescent="0.25">
      <c r="B34" s="16" t="s">
        <v>13</v>
      </c>
      <c r="C34" s="16" t="s">
        <v>1</v>
      </c>
      <c r="D34" s="17">
        <v>16</v>
      </c>
      <c r="E34" s="37">
        <f t="shared" si="0"/>
        <v>1.3031438345007329E-3</v>
      </c>
      <c r="F34" s="18" t="s">
        <v>2</v>
      </c>
      <c r="G34" s="18" t="s">
        <v>2</v>
      </c>
      <c r="H34" s="18" t="s">
        <v>2</v>
      </c>
      <c r="I34" s="20" t="s">
        <v>34</v>
      </c>
      <c r="J34" s="26">
        <f t="shared" si="1"/>
        <v>842.66666666666663</v>
      </c>
      <c r="K34" s="36">
        <f t="shared" si="2"/>
        <v>1.3031438345007329E-3</v>
      </c>
      <c r="N34" s="49">
        <f t="shared" si="3"/>
        <v>843</v>
      </c>
      <c r="O34" s="36">
        <f t="shared" si="4"/>
        <v>1.3036398304495005E-3</v>
      </c>
    </row>
    <row r="35" spans="2:15" ht="17.25" x14ac:dyDescent="0.25">
      <c r="B35" s="16" t="s">
        <v>14</v>
      </c>
      <c r="C35" s="16" t="s">
        <v>1</v>
      </c>
      <c r="D35" s="17">
        <v>16</v>
      </c>
      <c r="E35" s="37">
        <f t="shared" si="0"/>
        <v>1.3031438345007329E-3</v>
      </c>
      <c r="F35" s="18" t="s">
        <v>2</v>
      </c>
      <c r="G35" s="18" t="s">
        <v>2</v>
      </c>
      <c r="H35" s="18" t="s">
        <v>2</v>
      </c>
      <c r="I35" s="20" t="s">
        <v>34</v>
      </c>
      <c r="J35" s="26">
        <f t="shared" si="1"/>
        <v>842.66666666666663</v>
      </c>
      <c r="K35" s="36">
        <f t="shared" si="2"/>
        <v>1.3031438345007329E-3</v>
      </c>
      <c r="N35" s="49">
        <f t="shared" si="3"/>
        <v>843</v>
      </c>
      <c r="O35" s="36">
        <f t="shared" si="4"/>
        <v>1.3036398304495005E-3</v>
      </c>
    </row>
    <row r="36" spans="2:15" ht="17.25" x14ac:dyDescent="0.25">
      <c r="B36" s="16" t="s">
        <v>15</v>
      </c>
      <c r="C36" s="16" t="s">
        <v>1</v>
      </c>
      <c r="D36" s="17">
        <v>16</v>
      </c>
      <c r="E36" s="37">
        <f t="shared" si="0"/>
        <v>1.3031438345007329E-3</v>
      </c>
      <c r="F36" s="18" t="s">
        <v>2</v>
      </c>
      <c r="G36" s="18" t="s">
        <v>2</v>
      </c>
      <c r="H36" s="18" t="s">
        <v>2</v>
      </c>
      <c r="I36" s="20" t="s">
        <v>34</v>
      </c>
      <c r="J36" s="26">
        <f t="shared" si="1"/>
        <v>842.66666666666663</v>
      </c>
      <c r="K36" s="36">
        <f t="shared" si="2"/>
        <v>1.3031438345007329E-3</v>
      </c>
      <c r="N36" s="49">
        <f t="shared" si="3"/>
        <v>843</v>
      </c>
      <c r="O36" s="36">
        <f t="shared" si="4"/>
        <v>1.3036398304495005E-3</v>
      </c>
    </row>
    <row r="37" spans="2:15" ht="18" thickBot="1" x14ac:dyDescent="0.3">
      <c r="B37" s="16" t="s">
        <v>16</v>
      </c>
      <c r="C37" s="16" t="s">
        <v>1</v>
      </c>
      <c r="D37" s="17">
        <v>11</v>
      </c>
      <c r="E37" s="37">
        <f t="shared" si="0"/>
        <v>8.9591138621925395E-4</v>
      </c>
      <c r="F37" s="18" t="s">
        <v>2</v>
      </c>
      <c r="G37" s="18" t="s">
        <v>2</v>
      </c>
      <c r="H37" s="18" t="s">
        <v>2</v>
      </c>
      <c r="I37" s="20" t="s">
        <v>34</v>
      </c>
      <c r="J37" s="26">
        <f t="shared" si="1"/>
        <v>579.33333333333337</v>
      </c>
      <c r="K37" s="36">
        <f t="shared" si="2"/>
        <v>8.9591138621925395E-4</v>
      </c>
      <c r="N37" s="50">
        <f t="shared" si="3"/>
        <v>580</v>
      </c>
      <c r="O37" s="36">
        <f t="shared" si="4"/>
        <v>8.9692894621673828E-4</v>
      </c>
    </row>
    <row r="38" spans="2:15" ht="16.5" thickBot="1" x14ac:dyDescent="0.3">
      <c r="B38" s="9" t="s">
        <v>17</v>
      </c>
      <c r="C38" s="10"/>
      <c r="D38" s="40">
        <f>SUM(D9:D37)</f>
        <v>12278</v>
      </c>
      <c r="E38" s="11">
        <f>SUM(E9:E37)</f>
        <v>0.99999999999999967</v>
      </c>
      <c r="F38" s="12"/>
      <c r="G38" s="12"/>
      <c r="H38" s="13"/>
      <c r="I38" s="16"/>
      <c r="J38" s="41">
        <f>D42</f>
        <v>646641.33333333337</v>
      </c>
      <c r="K38" s="35">
        <f>SUM(K9:K37)</f>
        <v>0.99999999999999967</v>
      </c>
      <c r="N38" s="51">
        <f>SUM(N9:N37)</f>
        <v>646651</v>
      </c>
      <c r="O38" s="35">
        <f t="shared" si="4"/>
        <v>1</v>
      </c>
    </row>
    <row r="39" spans="2:15" ht="15.75" x14ac:dyDescent="0.25">
      <c r="F39" s="21"/>
      <c r="G39" s="21"/>
      <c r="H39" s="22"/>
      <c r="I39" s="23"/>
      <c r="J39" s="24"/>
      <c r="K39" s="25"/>
    </row>
    <row r="40" spans="2:15" ht="17.25" x14ac:dyDescent="0.3">
      <c r="B40" s="27"/>
      <c r="C40" s="27"/>
      <c r="D40" s="28" t="s">
        <v>39</v>
      </c>
      <c r="E40" s="28" t="s">
        <v>40</v>
      </c>
      <c r="J40" s="38"/>
      <c r="K40" s="39"/>
    </row>
    <row r="41" spans="2:15" ht="17.25" x14ac:dyDescent="0.25">
      <c r="B41" s="29" t="s">
        <v>37</v>
      </c>
      <c r="C41" s="30">
        <v>158</v>
      </c>
      <c r="D41" s="30">
        <v>12278</v>
      </c>
      <c r="E41" s="31">
        <f>C41*D41</f>
        <v>1939924</v>
      </c>
    </row>
    <row r="42" spans="2:15" ht="17.25" x14ac:dyDescent="0.25">
      <c r="B42" s="29" t="s">
        <v>38</v>
      </c>
      <c r="C42" s="32">
        <v>3</v>
      </c>
      <c r="D42" s="33">
        <f>E42/C42</f>
        <v>646641.33333333337</v>
      </c>
      <c r="E42" s="34">
        <f>E41</f>
        <v>1939924</v>
      </c>
    </row>
  </sheetData>
  <mergeCells count="10">
    <mergeCell ref="I6:O6"/>
    <mergeCell ref="B10:B11"/>
    <mergeCell ref="B12:B13"/>
    <mergeCell ref="B14:B15"/>
    <mergeCell ref="B16:B18"/>
    <mergeCell ref="B19:B21"/>
    <mergeCell ref="B22:B24"/>
    <mergeCell ref="B25:B26"/>
    <mergeCell ref="B27:B28"/>
    <mergeCell ref="B29:B30"/>
  </mergeCells>
  <phoneticPr fontId="1" type="noConversion"/>
  <pageMargins left="0.7" right="0.7" top="0.75" bottom="0.75" header="0" footer="0"/>
  <pageSetup paperSize="9" scale="68" fitToHeight="0" orientation="portrait" useFirstPageNumber="1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8B6BE0B3F42E2489F1BA2057DAC42DF" ma:contentTypeVersion="16" ma:contentTypeDescription="새 문서를 만듭니다." ma:contentTypeScope="" ma:versionID="450d58a338fb97d74a08c804937a0dfa">
  <xsd:schema xmlns:xsd="http://www.w3.org/2001/XMLSchema" xmlns:xs="http://www.w3.org/2001/XMLSchema" xmlns:p="http://schemas.microsoft.com/office/2006/metadata/properties" xmlns:ns3="6285b3b0-a3ad-4bac-bd50-d8abc5d3c280" xmlns:ns4="de5c46be-1ee9-47db-b415-75a7205cff78" targetNamespace="http://schemas.microsoft.com/office/2006/metadata/properties" ma:root="true" ma:fieldsID="2e124fcfb8bb1028ff6317a9159c9bb9" ns3:_="" ns4:_="">
    <xsd:import namespace="6285b3b0-a3ad-4bac-bd50-d8abc5d3c280"/>
    <xsd:import namespace="de5c46be-1ee9-47db-b415-75a7205cff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85b3b0-a3ad-4bac-bd50-d8abc5d3c2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c46be-1ee9-47db-b415-75a7205cff7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85b3b0-a3ad-4bac-bd50-d8abc5d3c2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DFB55B-DA8F-4253-B04D-04D684DB4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85b3b0-a3ad-4bac-bd50-d8abc5d3c280"/>
    <ds:schemaRef ds:uri="de5c46be-1ee9-47db-b415-75a7205cff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106AE3-A75A-4904-9513-90AA0FE3DE3F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de5c46be-1ee9-47db-b415-75a7205cff78"/>
    <ds:schemaRef ds:uri="http://purl.org/dc/elements/1.1/"/>
    <ds:schemaRef ds:uri="http://purl.org/dc/terms/"/>
    <ds:schemaRef ds:uri="6285b3b0-a3ad-4bac-bd50-d8abc5d3c28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C2B5B8-2DEC-4A03-9C5A-0D01E3E2C9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2025-12-02T16:15:16Z</dcterms:created>
  <dcterms:modified xsi:type="dcterms:W3CDTF">2026-02-21T02:53:38Z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0x010100B8B6BE0B3F42E2489F1BA2057DAC42DF</vt:lpwstr>
  </property>
</Properties>
</file>